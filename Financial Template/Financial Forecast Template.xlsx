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indus/Desktop/AU BSSE air uni Software engineering/ICT/Taha Musa Hanan/"/>
    </mc:Choice>
  </mc:AlternateContent>
  <xr:revisionPtr revIDLastSave="0" documentId="13_ncr:1_{EB8983ED-DE6E-BA4F-BC5C-689A48C48CAA}" xr6:coauthVersionLast="47" xr6:coauthVersionMax="47" xr10:uidLastSave="{00000000-0000-0000-0000-000000000000}"/>
  <bookViews>
    <workbookView xWindow="380" yWindow="500" windowWidth="28040" windowHeight="15820" xr2:uid="{7902BEC0-9305-DC47-BB98-54F42EE9F67A}"/>
  </bookViews>
  <sheets>
    <sheet name="Investment Assumptions" sheetId="1" r:id="rId1"/>
    <sheet name="Year 1 Forecast" sheetId="2" r:id="rId2"/>
    <sheet name="Year 2 Forecast" sheetId="3" r:id="rId3"/>
    <sheet name="summary" sheetId="4" r:id="rId4"/>
  </sheets>
  <definedNames>
    <definedName name="_xlnm._FilterDatabase" localSheetId="3" hidden="1">summary!$A$1:$F$4</definedName>
    <definedName name="Z_3FD9FDC3_5098_834D_904E_A16F4C2A9DBD_.wvu.FilterData" localSheetId="3" hidden="1">summary!$A$1:$F$4</definedName>
  </definedNames>
  <calcPr calcId="191029"/>
  <customWorkbookViews>
    <customWorkbookView name="hu" guid="{3FD9FDC3-5098-834D-904E-A16F4C2A9DBD}" xWindow="19" yWindow="25" windowWidth="1402" windowHeight="791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B4" i="4"/>
  <c r="F3" i="4"/>
  <c r="E3" i="4"/>
  <c r="D3" i="4"/>
  <c r="C3" i="4"/>
  <c r="B3" i="4"/>
  <c r="F2" i="4"/>
  <c r="E2" i="4"/>
  <c r="D2" i="4"/>
  <c r="C2" i="4"/>
  <c r="B2" i="4"/>
  <c r="F9" i="3"/>
  <c r="F10" i="3"/>
  <c r="F11" i="3"/>
  <c r="F12" i="3"/>
  <c r="F13" i="3"/>
  <c r="F8" i="3"/>
  <c r="F3" i="3"/>
  <c r="F4" i="3"/>
  <c r="F5" i="3"/>
  <c r="F6" i="3"/>
  <c r="F7" i="3"/>
  <c r="F2" i="3"/>
  <c r="F9" i="2"/>
  <c r="F10" i="2"/>
  <c r="H10" i="2" s="1"/>
  <c r="F11" i="2"/>
  <c r="F12" i="2"/>
  <c r="F13" i="2"/>
  <c r="F8" i="2"/>
  <c r="H12" i="2"/>
  <c r="F3" i="2"/>
  <c r="F4" i="2"/>
  <c r="F5" i="2"/>
  <c r="H5" i="2" s="1"/>
  <c r="F6" i="2"/>
  <c r="H6" i="2" s="1"/>
  <c r="F7" i="2"/>
  <c r="H13" i="2"/>
  <c r="F2" i="2"/>
  <c r="H9" i="2"/>
  <c r="G14" i="2"/>
  <c r="G2" i="3"/>
  <c r="B3" i="3"/>
  <c r="G3" i="3"/>
  <c r="B4" i="3"/>
  <c r="G4" i="3"/>
  <c r="B5" i="3"/>
  <c r="G5" i="3"/>
  <c r="B6" i="3"/>
  <c r="G6" i="3"/>
  <c r="B7" i="3"/>
  <c r="H7" i="3"/>
  <c r="G7" i="3"/>
  <c r="B8" i="3"/>
  <c r="G8" i="3"/>
  <c r="B9" i="3"/>
  <c r="G9" i="3"/>
  <c r="B10" i="3"/>
  <c r="G10" i="3"/>
  <c r="B11" i="3"/>
  <c r="G11" i="3"/>
  <c r="B12" i="3"/>
  <c r="G12" i="3"/>
  <c r="B13" i="3"/>
  <c r="G13" i="3"/>
  <c r="C14" i="3"/>
  <c r="D14" i="3"/>
  <c r="E14" i="3"/>
  <c r="B14" i="2"/>
  <c r="E14" i="2"/>
  <c r="D14" i="2"/>
  <c r="C14" i="2"/>
  <c r="H3" i="2"/>
  <c r="H7" i="2"/>
  <c r="H8" i="2"/>
  <c r="H11" i="2"/>
  <c r="H2" i="2"/>
  <c r="G3" i="2"/>
  <c r="G4" i="2"/>
  <c r="G5" i="2"/>
  <c r="G6" i="2"/>
  <c r="G7" i="2"/>
  <c r="G8" i="2"/>
  <c r="G9" i="2"/>
  <c r="G10" i="2"/>
  <c r="G11" i="2"/>
  <c r="G12" i="2"/>
  <c r="G13" i="2"/>
  <c r="G2" i="2"/>
  <c r="B4" i="2"/>
  <c r="B5" i="2"/>
  <c r="B6" i="2"/>
  <c r="B7" i="2"/>
  <c r="B8" i="2"/>
  <c r="B9" i="2"/>
  <c r="B10" i="2"/>
  <c r="B11" i="2"/>
  <c r="B12" i="2"/>
  <c r="B13" i="2"/>
  <c r="B3" i="2"/>
  <c r="H10" i="3" l="1"/>
  <c r="F14" i="2"/>
  <c r="H4" i="2"/>
  <c r="H14" i="2"/>
  <c r="H11" i="3"/>
  <c r="H6" i="3"/>
  <c r="H5" i="3"/>
  <c r="G14" i="3"/>
  <c r="H3" i="3"/>
  <c r="H2" i="3"/>
  <c r="B14" i="3"/>
  <c r="H12" i="3"/>
  <c r="H8" i="3"/>
  <c r="H13" i="3"/>
  <c r="H9" i="3"/>
  <c r="H4" i="3"/>
  <c r="F14" i="3"/>
  <c r="H14" i="3" l="1"/>
</calcChain>
</file>

<file path=xl/sharedStrings.xml><?xml version="1.0" encoding="utf-8"?>
<sst xmlns="http://schemas.openxmlformats.org/spreadsheetml/2006/main" count="80" uniqueCount="54">
  <si>
    <t>Item</t>
  </si>
  <si>
    <t>Value</t>
  </si>
  <si>
    <t>Monthly active users</t>
  </si>
  <si>
    <t>Cost per user</t>
  </si>
  <si>
    <t>5 PKR</t>
  </si>
  <si>
    <t>Server cost</t>
  </si>
  <si>
    <t>Developer cost</t>
  </si>
  <si>
    <t>0 (student project)</t>
  </si>
  <si>
    <t>Monetization model</t>
  </si>
  <si>
    <t>Ads + premium features</t>
  </si>
  <si>
    <t>Month</t>
  </si>
  <si>
    <t>Profit</t>
  </si>
  <si>
    <t>Total revenue</t>
  </si>
  <si>
    <t>7000 PKR/month</t>
  </si>
  <si>
    <t>Graphic Designer</t>
  </si>
  <si>
    <t>0(self)</t>
  </si>
  <si>
    <t>Front end Developer cost</t>
  </si>
  <si>
    <t>Advertisment cost</t>
  </si>
  <si>
    <t>200 rs (CPI- Per install)</t>
  </si>
  <si>
    <t>~1000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</si>
  <si>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</si>
  <si>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</si>
  <si>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</si>
  <si>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</si>
  <si>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</si>
  <si>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</si>
  <si>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</si>
  <si>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</si>
  <si>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</si>
  <si>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</si>
  <si>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</si>
  <si>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</si>
  <si>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 Generated</t>
  </si>
  <si>
    <t>Outflow of cash</t>
  </si>
  <si>
    <t>Subscriptions bought</t>
  </si>
  <si>
    <t>Total Cost per month</t>
  </si>
  <si>
    <t>Profit per user(non premium)</t>
  </si>
  <si>
    <t>(CPI*200) + 7000</t>
  </si>
  <si>
    <t>Users attracted via adds(CPI)</t>
  </si>
  <si>
    <t>Number of Users Attracted</t>
  </si>
  <si>
    <t>Total Users</t>
  </si>
  <si>
    <t>150 rs</t>
  </si>
  <si>
    <t>Premium Cost(1st year 1st semi)</t>
  </si>
  <si>
    <t>Premium Cost(1st year 2nd semi)</t>
  </si>
  <si>
    <t>Premium Cost(2st year 1st semi)</t>
  </si>
  <si>
    <t>Premium Cost(2nd year 2nd semi)</t>
  </si>
  <si>
    <t>300 per month</t>
  </si>
  <si>
    <t>480  per month</t>
  </si>
  <si>
    <t>900 per month</t>
  </si>
  <si>
    <t>1100 per month</t>
  </si>
  <si>
    <t>Year 1</t>
  </si>
  <si>
    <t>Year 2</t>
  </si>
  <si>
    <t>Outflow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</si>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</sst>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i/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0" xfId="0" applyFont="1" applyFill="1"/>
    <xf numFmtId="0" fontId="6" fillId="3" borderId="0" xfId="0" applyFont="1" applyFill="1"/>
    <xf numFmtId="0" fontId="6" fillId="6" borderId="0" xfId="0" applyFont="1" applyFill="1"/>
    <xf numFmtId="0" fontId="7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6" borderId="0" xfId="0" applyFont="1" applyFill="1" applyAlignment="1"/>
    <xf numFmtId="0" fontId="6" fillId="2" borderId="0" xfId="0" applyFont="1" applyFill="1"/>
    <xf numFmtId="0" fontId="4" fillId="3" borderId="0" xfId="0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5" fillId="5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718B-5AC3-0741-B767-7B94BE4352A5}">
  <sheetPr codeName="Sheet1"/>
  <dimension ref="A1:B15"/>
  <sheetViews>
    <sheetView tabSelected="1" view="pageBreakPreview" zoomScale="87" zoomScaleNormal="110" workbookViewId="0">
      <selection activeCell="E11" sqref="E11"/>
    </sheetView>
  </sheetViews>
  <sheetFormatPr baseColWidth="10" defaultRowHeight="16" x14ac:dyDescent="0.2"/>
  <cols>
    <col min="1" max="1" width="43" bestFit="1" customWidth="1"/>
    <col min="2" max="2" width="32" bestFit="1" customWidth="1"/>
  </cols>
  <sheetData>
    <row r="1" spans="1:2" ht="29" x14ac:dyDescent="0.35">
      <c r="A1" s="14" t="s">
        <v>0</v>
      </c>
      <c r="B1" s="14" t="s">
        <v>1</v>
      </c>
    </row>
    <row r="2" spans="1:2" ht="24" x14ac:dyDescent="0.3">
      <c r="A2" s="15" t="s">
        <v>2</v>
      </c>
      <c r="B2" s="3" t="s">
        <v>19</v>
      </c>
    </row>
    <row r="3" spans="1:2" ht="24" x14ac:dyDescent="0.3">
      <c r="A3" s="16" t="s">
        <v>3</v>
      </c>
      <c r="B3" s="2" t="s">
        <v>4</v>
      </c>
    </row>
    <row r="4" spans="1:2" ht="24" x14ac:dyDescent="0.3">
      <c r="A4" s="15" t="s">
        <v>5</v>
      </c>
      <c r="B4" s="3" t="s">
        <v>13</v>
      </c>
    </row>
    <row r="5" spans="1:2" ht="24" x14ac:dyDescent="0.3">
      <c r="A5" s="17" t="s">
        <v>14</v>
      </c>
      <c r="B5" s="4" t="s">
        <v>15</v>
      </c>
    </row>
    <row r="6" spans="1:2" ht="24" x14ac:dyDescent="0.3">
      <c r="A6" s="15" t="s">
        <v>16</v>
      </c>
      <c r="B6" s="3" t="s">
        <v>15</v>
      </c>
    </row>
    <row r="7" spans="1:2" ht="24" x14ac:dyDescent="0.3">
      <c r="A7" s="16" t="s">
        <v>6</v>
      </c>
      <c r="B7" s="2" t="s">
        <v>7</v>
      </c>
    </row>
    <row r="8" spans="1:2" ht="24" x14ac:dyDescent="0.3">
      <c r="A8" s="15" t="s">
        <v>42</v>
      </c>
      <c r="B8" s="3" t="s">
        <v>46</v>
      </c>
    </row>
    <row r="9" spans="1:2" ht="24" x14ac:dyDescent="0.3">
      <c r="A9" s="17" t="s">
        <v>43</v>
      </c>
      <c r="B9" s="2" t="s">
        <v>47</v>
      </c>
    </row>
    <row r="10" spans="1:2" ht="24" x14ac:dyDescent="0.3">
      <c r="A10" s="15" t="s">
        <v>44</v>
      </c>
      <c r="B10" s="3" t="s">
        <v>48</v>
      </c>
    </row>
    <row r="11" spans="1:2" ht="24" x14ac:dyDescent="0.3">
      <c r="A11" s="16" t="s">
        <v>45</v>
      </c>
      <c r="B11" s="4" t="s">
        <v>49</v>
      </c>
    </row>
    <row r="12" spans="1:2" ht="24" x14ac:dyDescent="0.3">
      <c r="A12" s="18" t="s">
        <v>8</v>
      </c>
      <c r="B12" s="3" t="s">
        <v>9</v>
      </c>
    </row>
    <row r="13" spans="1:2" ht="24" x14ac:dyDescent="0.3">
      <c r="A13" s="17" t="s">
        <v>36</v>
      </c>
      <c r="B13" s="4" t="s">
        <v>41</v>
      </c>
    </row>
    <row r="14" spans="1:2" ht="24" x14ac:dyDescent="0.3">
      <c r="A14" s="15" t="s">
        <v>17</v>
      </c>
      <c r="B14" s="7" t="s">
        <v>18</v>
      </c>
    </row>
    <row r="15" spans="1:2" ht="24" x14ac:dyDescent="0.3">
      <c r="A15" s="16" t="s">
        <v>35</v>
      </c>
      <c r="B15" s="4" t="s">
        <v>37</v>
      </c>
    </row>
  </sheetData>
  <customSheetViews>
    <customSheetView guid="{3FD9FDC3-5098-834D-904E-A16F4C2A9DBD}" scale="87" showPageBreaks="1" view="pageBreakPreview">
      <selection activeCell="E11" sqref="E11"/>
      <pageMargins left="0.7" right="0.7" top="0.75" bottom="0.75" header="0.3" footer="0.3"/>
      <pageSetup paperSize="9" orientation="portrait" horizontalDpi="0" verticalDpi="0"/>
    </customSheetView>
  </customSheetView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9120-5169-CD48-92D4-10E785722086}">
  <sheetPr codeName="Sheet2"/>
  <dimension ref="A1:I14"/>
  <sheetViews>
    <sheetView view="pageBreakPreview" zoomScale="89" zoomScaleNormal="93" zoomScaleSheetLayoutView="89" workbookViewId="0">
      <selection activeCell="B1" sqref="B1"/>
    </sheetView>
  </sheetViews>
  <sheetFormatPr baseColWidth="10" defaultRowHeight="16" x14ac:dyDescent="0.2"/>
  <cols>
    <col min="1" max="1" width="13" bestFit="1" customWidth="1"/>
    <col min="2" max="2" width="44.6640625" bestFit="1" customWidth="1"/>
    <col min="3" max="3" width="19.5" bestFit="1" customWidth="1"/>
    <col min="4" max="4" width="48" bestFit="1" customWidth="1"/>
    <col min="5" max="5" width="35.33203125" bestFit="1" customWidth="1"/>
    <col min="6" max="6" width="33.33203125" bestFit="1" customWidth="1"/>
    <col min="7" max="7" width="27" bestFit="1" customWidth="1"/>
    <col min="8" max="8" width="10.5" bestFit="1" customWidth="1"/>
  </cols>
  <sheetData>
    <row r="1" spans="1:9" ht="29" x14ac:dyDescent="0.3">
      <c r="A1" s="12" t="s">
        <v>10</v>
      </c>
      <c r="B1" s="12" t="s">
        <v>39</v>
      </c>
      <c r="C1" s="12" t="s">
        <v>40</v>
      </c>
      <c r="D1" s="12" t="s">
        <v>38</v>
      </c>
      <c r="E1" s="12" t="s">
        <v>34</v>
      </c>
      <c r="F1" s="12" t="s">
        <v>32</v>
      </c>
      <c r="G1" s="12" t="s">
        <v>33</v>
      </c>
      <c r="H1" s="12" t="s">
        <v>11</v>
      </c>
      <c r="I1" s="1"/>
    </row>
    <row r="2" spans="1:9" ht="21" x14ac:dyDescent="0.25">
      <c r="A2" s="5" t="s">
        <v>20</v>
      </c>
      <c r="B2" s="5">
        <v>50</v>
      </c>
      <c r="C2" s="5">
        <v>50</v>
      </c>
      <c r="D2" s="6">
        <v>39</v>
      </c>
      <c r="E2" s="5">
        <v>2</v>
      </c>
      <c r="F2" s="5">
        <f>((B2-E2)*150)+(300*E2)</f>
        <v>7800</v>
      </c>
      <c r="G2" s="5">
        <f>7000+(200*D2)</f>
        <v>14800</v>
      </c>
      <c r="H2" s="5">
        <f>F2-G2</f>
        <v>-7000</v>
      </c>
    </row>
    <row r="3" spans="1:9" ht="21" x14ac:dyDescent="0.25">
      <c r="A3" s="10" t="s">
        <v>21</v>
      </c>
      <c r="B3" s="10">
        <f>C3-C2</f>
        <v>150</v>
      </c>
      <c r="C3" s="10">
        <v>200</v>
      </c>
      <c r="D3" s="11">
        <v>67</v>
      </c>
      <c r="E3" s="10">
        <v>12</v>
      </c>
      <c r="F3" s="10">
        <f t="shared" ref="F3:F13" si="0">((B3-E3)*150)+(300*E3)</f>
        <v>24300</v>
      </c>
      <c r="G3" s="10">
        <f t="shared" ref="G3:G13" si="1">7000+(200*D3)</f>
        <v>20400</v>
      </c>
      <c r="H3" s="10">
        <f t="shared" ref="H3:H13" si="2">F3-G3</f>
        <v>3900</v>
      </c>
    </row>
    <row r="4" spans="1:9" ht="21" x14ac:dyDescent="0.25">
      <c r="A4" s="5" t="s">
        <v>22</v>
      </c>
      <c r="B4" s="5">
        <f t="shared" ref="B4:B13" si="3">C4-C3</f>
        <v>275</v>
      </c>
      <c r="C4" s="5">
        <v>475</v>
      </c>
      <c r="D4" s="6">
        <v>158</v>
      </c>
      <c r="E4" s="5">
        <v>25</v>
      </c>
      <c r="F4" s="5">
        <f t="shared" si="0"/>
        <v>45000</v>
      </c>
      <c r="G4" s="5">
        <f t="shared" si="1"/>
        <v>38600</v>
      </c>
      <c r="H4" s="5">
        <f t="shared" si="2"/>
        <v>6400</v>
      </c>
    </row>
    <row r="5" spans="1:9" ht="21" x14ac:dyDescent="0.25">
      <c r="A5" s="10" t="s">
        <v>23</v>
      </c>
      <c r="B5" s="10">
        <f t="shared" si="3"/>
        <v>45</v>
      </c>
      <c r="C5" s="10">
        <v>520</v>
      </c>
      <c r="D5" s="11">
        <v>10</v>
      </c>
      <c r="E5" s="10">
        <v>3</v>
      </c>
      <c r="F5" s="10">
        <f t="shared" si="0"/>
        <v>7200</v>
      </c>
      <c r="G5" s="10">
        <f t="shared" si="1"/>
        <v>9000</v>
      </c>
      <c r="H5" s="10">
        <f t="shared" si="2"/>
        <v>-1800</v>
      </c>
    </row>
    <row r="6" spans="1:9" ht="21" x14ac:dyDescent="0.25">
      <c r="A6" s="5" t="s">
        <v>24</v>
      </c>
      <c r="B6" s="5">
        <f t="shared" si="3"/>
        <v>123</v>
      </c>
      <c r="C6" s="5">
        <v>643</v>
      </c>
      <c r="D6" s="6">
        <v>50</v>
      </c>
      <c r="E6" s="5">
        <v>14</v>
      </c>
      <c r="F6" s="5">
        <f t="shared" si="0"/>
        <v>20550</v>
      </c>
      <c r="G6" s="5">
        <f t="shared" si="1"/>
        <v>17000</v>
      </c>
      <c r="H6" s="5">
        <f t="shared" si="2"/>
        <v>3550</v>
      </c>
    </row>
    <row r="7" spans="1:9" ht="21" x14ac:dyDescent="0.25">
      <c r="A7" s="10" t="s">
        <v>25</v>
      </c>
      <c r="B7" s="10">
        <f t="shared" si="3"/>
        <v>346</v>
      </c>
      <c r="C7" s="10">
        <v>989</v>
      </c>
      <c r="D7" s="11">
        <v>250</v>
      </c>
      <c r="E7" s="10">
        <v>50</v>
      </c>
      <c r="F7" s="10">
        <f t="shared" si="0"/>
        <v>59400</v>
      </c>
      <c r="G7" s="10">
        <f t="shared" si="1"/>
        <v>57000</v>
      </c>
      <c r="H7" s="10">
        <f t="shared" si="2"/>
        <v>2400</v>
      </c>
    </row>
    <row r="8" spans="1:9" ht="21" x14ac:dyDescent="0.25">
      <c r="A8" s="5" t="s">
        <v>26</v>
      </c>
      <c r="B8" s="5">
        <f t="shared" si="3"/>
        <v>511</v>
      </c>
      <c r="C8" s="5">
        <v>1500</v>
      </c>
      <c r="D8" s="6">
        <v>400</v>
      </c>
      <c r="E8" s="5">
        <v>67</v>
      </c>
      <c r="F8" s="5">
        <f>((B8-E8)*150)+(480*E8)</f>
        <v>98760</v>
      </c>
      <c r="G8" s="5">
        <f t="shared" si="1"/>
        <v>87000</v>
      </c>
      <c r="H8" s="5">
        <f t="shared" si="2"/>
        <v>11760</v>
      </c>
    </row>
    <row r="9" spans="1:9" ht="21" x14ac:dyDescent="0.25">
      <c r="A9" s="10" t="s">
        <v>27</v>
      </c>
      <c r="B9" s="10">
        <f t="shared" si="3"/>
        <v>624</v>
      </c>
      <c r="C9" s="10">
        <v>2124</v>
      </c>
      <c r="D9" s="11">
        <v>326</v>
      </c>
      <c r="E9" s="10">
        <v>100</v>
      </c>
      <c r="F9" s="10">
        <f t="shared" ref="F9:F13" si="4">((B9-E9)*150)+(480*E9)</f>
        <v>126600</v>
      </c>
      <c r="G9" s="10">
        <f t="shared" si="1"/>
        <v>72200</v>
      </c>
      <c r="H9" s="10">
        <f t="shared" si="2"/>
        <v>54400</v>
      </c>
    </row>
    <row r="10" spans="1:9" ht="21" x14ac:dyDescent="0.25">
      <c r="A10" s="5" t="s">
        <v>28</v>
      </c>
      <c r="B10" s="5">
        <f t="shared" si="3"/>
        <v>976</v>
      </c>
      <c r="C10" s="5">
        <v>3100</v>
      </c>
      <c r="D10" s="6">
        <v>669</v>
      </c>
      <c r="E10" s="5">
        <v>120</v>
      </c>
      <c r="F10" s="5">
        <f t="shared" si="4"/>
        <v>186000</v>
      </c>
      <c r="G10" s="5">
        <f t="shared" si="1"/>
        <v>140800</v>
      </c>
      <c r="H10" s="5">
        <f t="shared" si="2"/>
        <v>45200</v>
      </c>
    </row>
    <row r="11" spans="1:9" ht="21" x14ac:dyDescent="0.25">
      <c r="A11" s="10" t="s">
        <v>29</v>
      </c>
      <c r="B11" s="10">
        <f t="shared" si="3"/>
        <v>1700</v>
      </c>
      <c r="C11" s="10">
        <v>4800</v>
      </c>
      <c r="D11" s="11">
        <v>1019</v>
      </c>
      <c r="E11" s="10">
        <v>200</v>
      </c>
      <c r="F11" s="10">
        <f t="shared" si="4"/>
        <v>321000</v>
      </c>
      <c r="G11" s="10">
        <f t="shared" si="1"/>
        <v>210800</v>
      </c>
      <c r="H11" s="10">
        <f t="shared" si="2"/>
        <v>110200</v>
      </c>
    </row>
    <row r="12" spans="1:9" ht="21" x14ac:dyDescent="0.25">
      <c r="A12" s="5" t="s">
        <v>30</v>
      </c>
      <c r="B12" s="5">
        <f t="shared" si="3"/>
        <v>1200</v>
      </c>
      <c r="C12" s="5">
        <v>6000</v>
      </c>
      <c r="D12" s="6">
        <v>569</v>
      </c>
      <c r="E12" s="5">
        <v>250</v>
      </c>
      <c r="F12" s="5">
        <f t="shared" si="4"/>
        <v>262500</v>
      </c>
      <c r="G12" s="5">
        <f t="shared" si="1"/>
        <v>120800</v>
      </c>
      <c r="H12" s="5">
        <f t="shared" si="2"/>
        <v>141700</v>
      </c>
    </row>
    <row r="13" spans="1:9" ht="21" x14ac:dyDescent="0.25">
      <c r="A13" s="10" t="s">
        <v>31</v>
      </c>
      <c r="B13" s="10">
        <f t="shared" si="3"/>
        <v>3890</v>
      </c>
      <c r="C13" s="10">
        <v>9890</v>
      </c>
      <c r="D13" s="11">
        <v>2000</v>
      </c>
      <c r="E13" s="10">
        <v>400</v>
      </c>
      <c r="F13" s="10">
        <f t="shared" si="4"/>
        <v>715500</v>
      </c>
      <c r="G13" s="10">
        <f t="shared" si="1"/>
        <v>407000</v>
      </c>
      <c r="H13" s="10">
        <f t="shared" si="2"/>
        <v>308500</v>
      </c>
    </row>
    <row r="14" spans="1:9" ht="29" x14ac:dyDescent="0.35">
      <c r="A14" s="13" t="s">
        <v>53</v>
      </c>
      <c r="B14" s="21">
        <f>SUM(B2:B13)</f>
        <v>9890</v>
      </c>
      <c r="C14" s="21">
        <f>SUM(C2:C13)</f>
        <v>30291</v>
      </c>
      <c r="D14" s="21">
        <f>SUM(D2:D13)</f>
        <v>5557</v>
      </c>
      <c r="E14" s="21">
        <f t="shared" ref="E14:H14" si="5">SUM(E2:E13)</f>
        <v>1243</v>
      </c>
      <c r="F14" s="21">
        <f t="shared" si="5"/>
        <v>1874610</v>
      </c>
      <c r="G14" s="21">
        <f>SUM(G2:G13)</f>
        <v>1195400</v>
      </c>
      <c r="H14" s="21">
        <f t="shared" si="5"/>
        <v>679210</v>
      </c>
    </row>
  </sheetData>
  <customSheetViews>
    <customSheetView guid="{3FD9FDC3-5098-834D-904E-A16F4C2A9DBD}" scale="89" showPageBreaks="1" view="pageBreakPreview">
      <selection activeCell="B1" sqref="B1"/>
      <pageMargins left="0.7" right="0.7" top="0.75" bottom="0.75" header="0.3" footer="0.3"/>
      <pageSetup paperSize="9" scale="35" orientation="portrait" horizontalDpi="0" verticalDpi="0"/>
    </customSheetView>
  </customSheetViews>
  <phoneticPr fontId="3" type="noConversion"/>
  <pageMargins left="0.7" right="0.7" top="0.75" bottom="0.75" header="0.3" footer="0.3"/>
  <pageSetup paperSize="9" scale="3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5C86-C828-0449-A03F-C45B29A2DFC1}">
  <sheetPr codeName="Sheet3"/>
  <dimension ref="A1:H14"/>
  <sheetViews>
    <sheetView view="pageBreakPreview" zoomScale="75" zoomScaleNormal="100" workbookViewId="0">
      <selection activeCell="H14" sqref="H14"/>
    </sheetView>
  </sheetViews>
  <sheetFormatPr baseColWidth="10" defaultRowHeight="16" x14ac:dyDescent="0.2"/>
  <cols>
    <col min="1" max="1" width="13" bestFit="1" customWidth="1"/>
    <col min="2" max="2" width="43.83203125" bestFit="1" customWidth="1"/>
    <col min="3" max="3" width="18.83203125" bestFit="1" customWidth="1"/>
    <col min="4" max="4" width="46.83203125" bestFit="1" customWidth="1"/>
    <col min="5" max="5" width="34.5" bestFit="1" customWidth="1"/>
    <col min="6" max="6" width="32.5" bestFit="1" customWidth="1"/>
    <col min="7" max="7" width="26" bestFit="1" customWidth="1"/>
    <col min="8" max="8" width="13.5" bestFit="1" customWidth="1"/>
  </cols>
  <sheetData>
    <row r="1" spans="1:8" ht="29" x14ac:dyDescent="0.2">
      <c r="A1" s="12" t="s">
        <v>10</v>
      </c>
      <c r="B1" s="12" t="s">
        <v>39</v>
      </c>
      <c r="C1" s="12" t="s">
        <v>40</v>
      </c>
      <c r="D1" s="12" t="s">
        <v>38</v>
      </c>
      <c r="E1" s="12" t="s">
        <v>34</v>
      </c>
      <c r="F1" s="12" t="s">
        <v>32</v>
      </c>
      <c r="G1" s="12" t="s">
        <v>33</v>
      </c>
      <c r="H1" s="12" t="s">
        <v>11</v>
      </c>
    </row>
    <row r="2" spans="1:8" ht="21" x14ac:dyDescent="0.25">
      <c r="A2" s="10" t="s">
        <v>20</v>
      </c>
      <c r="B2" s="10">
        <v>450</v>
      </c>
      <c r="C2" s="10">
        <v>450</v>
      </c>
      <c r="D2" s="11">
        <v>250</v>
      </c>
      <c r="E2" s="10">
        <v>120</v>
      </c>
      <c r="F2" s="10">
        <f>((B2-E2)*150)+(900*E2)</f>
        <v>157500</v>
      </c>
      <c r="G2" s="10">
        <f>7000+(200*D2)</f>
        <v>57000</v>
      </c>
      <c r="H2" s="10">
        <f>F2-G2</f>
        <v>100500</v>
      </c>
    </row>
    <row r="3" spans="1:8" ht="21" x14ac:dyDescent="0.25">
      <c r="A3" s="19" t="s">
        <v>21</v>
      </c>
      <c r="B3" s="19">
        <f>C3-C2</f>
        <v>200</v>
      </c>
      <c r="C3" s="19">
        <v>650</v>
      </c>
      <c r="D3" s="20">
        <v>341</v>
      </c>
      <c r="E3" s="19">
        <v>67</v>
      </c>
      <c r="F3" s="19">
        <f t="shared" ref="F3:F7" si="0">((B3-E3)*150)+(900*E3)</f>
        <v>80250</v>
      </c>
      <c r="G3" s="19">
        <f t="shared" ref="G3:G13" si="1">7000+(200*D3)</f>
        <v>75200</v>
      </c>
      <c r="H3" s="19">
        <f t="shared" ref="H3:H13" si="2">F3-G3</f>
        <v>5050</v>
      </c>
    </row>
    <row r="4" spans="1:8" ht="21" x14ac:dyDescent="0.25">
      <c r="A4" s="10" t="s">
        <v>22</v>
      </c>
      <c r="B4" s="10">
        <f t="shared" ref="B4:B13" si="3">C4-C3</f>
        <v>1550</v>
      </c>
      <c r="C4" s="10">
        <v>2200</v>
      </c>
      <c r="D4" s="11">
        <v>257</v>
      </c>
      <c r="E4" s="10">
        <v>320</v>
      </c>
      <c r="F4" s="10">
        <f t="shared" si="0"/>
        <v>472500</v>
      </c>
      <c r="G4" s="10">
        <f t="shared" si="1"/>
        <v>58400</v>
      </c>
      <c r="H4" s="10">
        <f t="shared" si="2"/>
        <v>414100</v>
      </c>
    </row>
    <row r="5" spans="1:8" ht="21" x14ac:dyDescent="0.25">
      <c r="A5" s="19" t="s">
        <v>23</v>
      </c>
      <c r="B5" s="19">
        <f t="shared" si="3"/>
        <v>2000</v>
      </c>
      <c r="C5" s="19">
        <v>4200</v>
      </c>
      <c r="D5" s="20">
        <v>789</v>
      </c>
      <c r="E5" s="19">
        <v>670</v>
      </c>
      <c r="F5" s="19">
        <f t="shared" si="0"/>
        <v>802500</v>
      </c>
      <c r="G5" s="19">
        <f t="shared" si="1"/>
        <v>164800</v>
      </c>
      <c r="H5" s="19">
        <f t="shared" si="2"/>
        <v>637700</v>
      </c>
    </row>
    <row r="6" spans="1:8" ht="21" x14ac:dyDescent="0.25">
      <c r="A6" s="10" t="s">
        <v>24</v>
      </c>
      <c r="B6" s="10">
        <f t="shared" si="3"/>
        <v>300</v>
      </c>
      <c r="C6" s="10">
        <v>4500</v>
      </c>
      <c r="D6" s="11">
        <v>10</v>
      </c>
      <c r="E6" s="10">
        <v>596</v>
      </c>
      <c r="F6" s="10">
        <f t="shared" si="0"/>
        <v>492000</v>
      </c>
      <c r="G6" s="10">
        <f t="shared" si="1"/>
        <v>9000</v>
      </c>
      <c r="H6" s="10">
        <f t="shared" si="2"/>
        <v>483000</v>
      </c>
    </row>
    <row r="7" spans="1:8" ht="21" x14ac:dyDescent="0.25">
      <c r="A7" s="19" t="s">
        <v>25</v>
      </c>
      <c r="B7" s="19">
        <f t="shared" si="3"/>
        <v>400</v>
      </c>
      <c r="C7" s="19">
        <v>4900</v>
      </c>
      <c r="D7" s="20">
        <v>250</v>
      </c>
      <c r="E7" s="19">
        <v>700</v>
      </c>
      <c r="F7" s="19">
        <f t="shared" si="0"/>
        <v>585000</v>
      </c>
      <c r="G7" s="19">
        <f t="shared" si="1"/>
        <v>57000</v>
      </c>
      <c r="H7" s="19">
        <f t="shared" si="2"/>
        <v>528000</v>
      </c>
    </row>
    <row r="8" spans="1:8" ht="21" x14ac:dyDescent="0.25">
      <c r="A8" s="10" t="s">
        <v>26</v>
      </c>
      <c r="B8" s="10">
        <f t="shared" si="3"/>
        <v>2600</v>
      </c>
      <c r="C8" s="10">
        <v>7500</v>
      </c>
      <c r="D8" s="11">
        <v>1400</v>
      </c>
      <c r="E8" s="10">
        <v>970</v>
      </c>
      <c r="F8" s="10">
        <f>((B8-E8)*150)+(1100*E8)</f>
        <v>1311500</v>
      </c>
      <c r="G8" s="10">
        <f t="shared" si="1"/>
        <v>287000</v>
      </c>
      <c r="H8" s="10">
        <f t="shared" si="2"/>
        <v>1024500</v>
      </c>
    </row>
    <row r="9" spans="1:8" ht="21" x14ac:dyDescent="0.25">
      <c r="A9" s="19" t="s">
        <v>27</v>
      </c>
      <c r="B9" s="19">
        <f t="shared" si="3"/>
        <v>4742</v>
      </c>
      <c r="C9" s="19">
        <v>12242</v>
      </c>
      <c r="D9" s="20">
        <v>2567</v>
      </c>
      <c r="E9" s="19">
        <v>1234</v>
      </c>
      <c r="F9" s="19">
        <f t="shared" ref="F9:F13" si="4">((B9-E9)*150)+(1100*E9)</f>
        <v>1883600</v>
      </c>
      <c r="G9" s="19">
        <f t="shared" si="1"/>
        <v>520400</v>
      </c>
      <c r="H9" s="19">
        <f t="shared" si="2"/>
        <v>1363200</v>
      </c>
    </row>
    <row r="10" spans="1:8" ht="21" x14ac:dyDescent="0.25">
      <c r="A10" s="10" t="s">
        <v>28</v>
      </c>
      <c r="B10" s="10">
        <f t="shared" si="3"/>
        <v>6664</v>
      </c>
      <c r="C10" s="10">
        <v>18906</v>
      </c>
      <c r="D10" s="11">
        <v>4567</v>
      </c>
      <c r="E10" s="10">
        <v>1987</v>
      </c>
      <c r="F10" s="10">
        <f t="shared" si="4"/>
        <v>2887250</v>
      </c>
      <c r="G10" s="10">
        <f t="shared" si="1"/>
        <v>920400</v>
      </c>
      <c r="H10" s="10">
        <f t="shared" si="2"/>
        <v>1966850</v>
      </c>
    </row>
    <row r="11" spans="1:8" ht="21" x14ac:dyDescent="0.25">
      <c r="A11" s="19" t="s">
        <v>29</v>
      </c>
      <c r="B11" s="19">
        <f t="shared" si="3"/>
        <v>2150</v>
      </c>
      <c r="C11" s="19">
        <v>21056</v>
      </c>
      <c r="D11" s="20">
        <v>678</v>
      </c>
      <c r="E11" s="19">
        <v>2534</v>
      </c>
      <c r="F11" s="19">
        <f t="shared" si="4"/>
        <v>2729800</v>
      </c>
      <c r="G11" s="19">
        <f t="shared" si="1"/>
        <v>142600</v>
      </c>
      <c r="H11" s="19">
        <f t="shared" si="2"/>
        <v>2587200</v>
      </c>
    </row>
    <row r="12" spans="1:8" ht="21" x14ac:dyDescent="0.25">
      <c r="A12" s="10" t="s">
        <v>30</v>
      </c>
      <c r="B12" s="10">
        <f t="shared" si="3"/>
        <v>4623</v>
      </c>
      <c r="C12" s="10">
        <v>25679</v>
      </c>
      <c r="D12" s="11">
        <v>1200</v>
      </c>
      <c r="E12" s="10">
        <v>1245</v>
      </c>
      <c r="F12" s="10">
        <f t="shared" si="4"/>
        <v>1876200</v>
      </c>
      <c r="G12" s="10">
        <f t="shared" si="1"/>
        <v>247000</v>
      </c>
      <c r="H12" s="10">
        <f t="shared" si="2"/>
        <v>1629200</v>
      </c>
    </row>
    <row r="13" spans="1:8" ht="21" x14ac:dyDescent="0.25">
      <c r="A13" s="19" t="s">
        <v>31</v>
      </c>
      <c r="B13" s="19">
        <f t="shared" si="3"/>
        <v>7313</v>
      </c>
      <c r="C13" s="19">
        <v>32992</v>
      </c>
      <c r="D13" s="20">
        <v>3567</v>
      </c>
      <c r="E13" s="19">
        <v>2987</v>
      </c>
      <c r="F13" s="19">
        <f t="shared" si="4"/>
        <v>3934600</v>
      </c>
      <c r="G13" s="19">
        <f t="shared" si="1"/>
        <v>720400</v>
      </c>
      <c r="H13" s="19">
        <f t="shared" si="2"/>
        <v>3214200</v>
      </c>
    </row>
    <row r="14" spans="1:8" ht="29" x14ac:dyDescent="0.35">
      <c r="A14" s="22" t="s">
        <v>53</v>
      </c>
      <c r="B14" s="21">
        <f>SUM(B2:B13)</f>
        <v>32992</v>
      </c>
      <c r="C14" s="21">
        <f>SUM(C2:C13)</f>
        <v>135275</v>
      </c>
      <c r="D14" s="21">
        <f>SUM(D2:D13)</f>
        <v>15876</v>
      </c>
      <c r="E14" s="21">
        <f t="shared" ref="E14:H14" si="5">SUM(E2:E13)</f>
        <v>13430</v>
      </c>
      <c r="F14" s="21">
        <f t="shared" si="5"/>
        <v>17212700</v>
      </c>
      <c r="G14" s="21">
        <f t="shared" si="5"/>
        <v>3259200</v>
      </c>
      <c r="H14" s="21">
        <f t="shared" si="5"/>
        <v>13953500</v>
      </c>
    </row>
  </sheetData>
  <customSheetViews>
    <customSheetView guid="{3FD9FDC3-5098-834D-904E-A16F4C2A9DBD}" scale="75" showPageBreaks="1" view="pageBreakPreview">
      <selection activeCell="H14" sqref="H14"/>
      <pageMargins left="0.7" right="0.7" top="0.75" bottom="0.75" header="0.3" footer="0.3"/>
      <pageSetup paperSize="9" scale="35" orientation="portrait" horizontalDpi="0" verticalDpi="0"/>
    </customSheetView>
  </customSheetViews>
  <pageMargins left="0.7" right="0.7" top="0.75" bottom="0.75" header="0.3" footer="0.3"/>
  <pageSetup paperSize="9" scale="3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37AA-6C83-204E-B8B8-6011BDE74AA7}">
  <sheetPr codeName="Sheet4"/>
  <dimension ref="A1:N9"/>
  <sheetViews>
    <sheetView view="pageBreakPreview" zoomScale="119" zoomScaleNormal="101" zoomScaleSheetLayoutView="119" workbookViewId="0">
      <selection activeCell="D3" sqref="D3"/>
    </sheetView>
  </sheetViews>
  <sheetFormatPr baseColWidth="10" defaultRowHeight="16" x14ac:dyDescent="0.2"/>
  <cols>
    <col min="1" max="1" width="9.33203125" bestFit="1" customWidth="1"/>
    <col min="2" max="2" width="18.83203125" bestFit="1" customWidth="1"/>
    <col min="3" max="3" width="34.5" bestFit="1" customWidth="1"/>
    <col min="4" max="4" width="23" bestFit="1" customWidth="1"/>
    <col min="5" max="5" width="14" bestFit="1" customWidth="1"/>
    <col min="6" max="6" width="13.6640625" bestFit="1" customWidth="1"/>
    <col min="7" max="7" width="25.1640625" bestFit="1" customWidth="1"/>
  </cols>
  <sheetData>
    <row r="1" spans="1:14" ht="29" x14ac:dyDescent="0.35">
      <c r="B1" s="27" t="s">
        <v>40</v>
      </c>
      <c r="C1" s="27" t="s">
        <v>34</v>
      </c>
      <c r="D1" s="27" t="s">
        <v>12</v>
      </c>
      <c r="E1" s="27" t="s">
        <v>52</v>
      </c>
      <c r="F1" s="27" t="s">
        <v>11</v>
      </c>
      <c r="G1" s="1"/>
      <c r="H1" s="8"/>
      <c r="I1" s="9"/>
      <c r="J1" s="9"/>
      <c r="K1" s="9"/>
      <c r="L1" s="8"/>
      <c r="M1" s="8"/>
      <c r="N1" s="8"/>
    </row>
    <row r="2" spans="1:14" ht="24" x14ac:dyDescent="0.3">
      <c r="A2" s="28" t="s">
        <v>50</v>
      </c>
      <c r="B2" s="11">
        <f>'Year 1 Forecast'!C14</f>
        <v>30291</v>
      </c>
      <c r="C2" s="24">
        <f>'Year 1 Forecast'!E14</f>
        <v>1243</v>
      </c>
      <c r="D2" s="24">
        <f>'Year 1 Forecast'!F14</f>
        <v>1874610</v>
      </c>
      <c r="E2" s="24">
        <f>'Year 1 Forecast'!G14</f>
        <v>1195400</v>
      </c>
      <c r="F2" s="24">
        <f>'Year 1 Forecast'!H14</f>
        <v>679210</v>
      </c>
      <c r="H2" s="9"/>
      <c r="I2" s="9"/>
      <c r="J2" s="9"/>
      <c r="K2" s="9"/>
      <c r="L2" s="9"/>
      <c r="M2" s="9"/>
      <c r="N2" s="9"/>
    </row>
    <row r="3" spans="1:14" ht="24" x14ac:dyDescent="0.3">
      <c r="A3" s="28" t="s">
        <v>51</v>
      </c>
      <c r="B3" s="25">
        <f>'Year 2 Forecast'!C14</f>
        <v>135275</v>
      </c>
      <c r="C3" s="26">
        <f>'Year 2 Forecast'!E14</f>
        <v>13430</v>
      </c>
      <c r="D3" s="26">
        <f>'Year 2 Forecast'!F14</f>
        <v>17212700</v>
      </c>
      <c r="E3" s="26">
        <f>'Year 2 Forecast'!G14</f>
        <v>3259200</v>
      </c>
      <c r="F3" s="26">
        <f>'Year 2 Forecast'!H14</f>
        <v>13953500</v>
      </c>
      <c r="H3" s="9"/>
      <c r="I3" s="9"/>
      <c r="J3" s="9"/>
      <c r="K3" s="9"/>
      <c r="L3" s="9"/>
      <c r="M3" s="9"/>
      <c r="N3" s="9"/>
    </row>
    <row r="4" spans="1:14" ht="29" x14ac:dyDescent="0.35">
      <c r="A4" s="29" t="s">
        <v>53</v>
      </c>
      <c r="B4" s="23">
        <f>B2+B3</f>
        <v>165566</v>
      </c>
      <c r="C4" s="23">
        <f t="shared" ref="C4:F4" si="0">C2+C3</f>
        <v>14673</v>
      </c>
      <c r="D4" s="23">
        <f t="shared" si="0"/>
        <v>19087310</v>
      </c>
      <c r="E4" s="23">
        <f t="shared" si="0"/>
        <v>4454600</v>
      </c>
      <c r="F4" s="23">
        <f t="shared" si="0"/>
        <v>14632710</v>
      </c>
      <c r="H4" s="9"/>
      <c r="I4" s="9"/>
      <c r="J4" s="9"/>
      <c r="K4" s="9"/>
      <c r="L4" s="9"/>
      <c r="M4" s="9"/>
      <c r="N4" s="9"/>
    </row>
    <row r="5" spans="1:14" x14ac:dyDescent="0.2">
      <c r="H5" s="9"/>
      <c r="I5" s="9"/>
      <c r="J5" s="9"/>
      <c r="K5" s="9"/>
      <c r="L5" s="9"/>
      <c r="M5" s="9"/>
      <c r="N5" s="9"/>
    </row>
    <row r="6" spans="1:14" ht="24" x14ac:dyDescent="0.2">
      <c r="H6" s="8"/>
      <c r="I6" s="9"/>
      <c r="J6" s="9"/>
      <c r="K6" s="9"/>
      <c r="L6" s="9"/>
      <c r="M6" s="9"/>
      <c r="N6" s="9"/>
    </row>
    <row r="7" spans="1:14" x14ac:dyDescent="0.2">
      <c r="H7" s="9"/>
      <c r="I7" s="9"/>
      <c r="J7" s="9"/>
      <c r="K7" s="9"/>
      <c r="L7" s="9"/>
      <c r="M7" s="9"/>
      <c r="N7" s="9"/>
    </row>
    <row r="8" spans="1:14" x14ac:dyDescent="0.2">
      <c r="H8" s="9"/>
      <c r="I8" s="9"/>
      <c r="J8" s="9"/>
      <c r="K8" s="9"/>
      <c r="L8" s="9"/>
      <c r="M8" s="9"/>
      <c r="N8" s="9"/>
    </row>
    <row r="9" spans="1:14" x14ac:dyDescent="0.2">
      <c r="H9" s="9"/>
      <c r="I9" s="9"/>
      <c r="J9" s="9"/>
      <c r="K9" s="9"/>
      <c r="L9" s="9"/>
      <c r="M9" s="9"/>
      <c r="N9" s="9"/>
    </row>
  </sheetData>
  <customSheetViews>
    <customSheetView guid="{3FD9FDC3-5098-834D-904E-A16F4C2A9DBD}" scale="119" showPageBreaks="1" view="pageBreakPreview">
      <selection activeCell="C2" sqref="C2"/>
      <pageMargins left="0.7" right="0.7" top="0.75" bottom="0.75" header="0.3" footer="0.3"/>
      <pageSetup paperSize="9" scale="65" orientation="portrait" horizontalDpi="0" verticalDpi="0"/>
    </customSheetView>
  </customSheetViews>
  <pageMargins left="0.7" right="0.7" top="0.75" bottom="0.75" header="0.3" footer="0.3"/>
  <pageSetup paperSize="9" scale="6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Investment Assumptions</vt:lpstr>
      <vt:lpstr>Year 1 Forecast</vt:lpstr>
      <vt:lpstr>Year 2 Forecast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tahahmed7895@outlook.com</dc:creator>
  <cp:lastModifiedBy>tahahmed7895@outlook.com</cp:lastModifiedBy>
  <dcterms:created xsi:type="dcterms:W3CDTF">2025-12-11T06:37:00Z</dcterms:created>
  <dcterms:modified xsi:type="dcterms:W3CDTF">2025-12-21T16:52:41Z</dcterms:modified>
</cp:coreProperties>
</file>